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057430e44be2f/Documents/Year 5/SnakePIt/"/>
    </mc:Choice>
  </mc:AlternateContent>
  <xr:revisionPtr revIDLastSave="71" documentId="8_{5EEAD611-C389-4065-A5E5-70C6E76ECC26}" xr6:coauthVersionLast="47" xr6:coauthVersionMax="47" xr10:uidLastSave="{90B294B3-B954-4248-A5DB-6E5074DEFD49}"/>
  <bookViews>
    <workbookView xWindow="1725" yWindow="4020" windowWidth="23490" windowHeight="12645" xr2:uid="{85E93AE0-7EF5-43E1-99B5-82B63995C2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3" i="1"/>
  <c r="M4" i="1"/>
  <c r="L5" i="1"/>
  <c r="L3" i="1"/>
  <c r="J3" i="1"/>
  <c r="L4" i="1"/>
  <c r="K4" i="1"/>
  <c r="J4" i="1"/>
  <c r="K5" i="1"/>
  <c r="J5" i="1"/>
</calcChain>
</file>

<file path=xl/sharedStrings.xml><?xml version="1.0" encoding="utf-8"?>
<sst xmlns="http://schemas.openxmlformats.org/spreadsheetml/2006/main" count="51" uniqueCount="14">
  <si>
    <t>Problem</t>
  </si>
  <si>
    <t>Square Assignment</t>
  </si>
  <si>
    <t>Path Generation</t>
  </si>
  <si>
    <t>Trial</t>
  </si>
  <si>
    <t>Problem 1</t>
  </si>
  <si>
    <t>Problem 2</t>
  </si>
  <si>
    <t>Problem 3</t>
  </si>
  <si>
    <t xml:space="preserve">Path Generation </t>
  </si>
  <si>
    <t>Flow</t>
  </si>
  <si>
    <t>~</t>
  </si>
  <si>
    <t>Variables</t>
  </si>
  <si>
    <t>Constraints</t>
  </si>
  <si>
    <t>Lazy  Constraints</t>
  </si>
  <si>
    <t xml:space="preserve">Problem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</si>
</sst>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9D4B-1214-45EB-B943-1E958A134A1D}">
  <dimension ref="B1:M35"/>
  <sheetViews>
    <sheetView tabSelected="1" workbookViewId="0">
      <selection activeCell="M5" sqref="M5"/>
    </sheetView>
  </sheetViews>
  <sheetFormatPr defaultRowHeight="15" x14ac:dyDescent="0.25"/>
  <cols>
    <col min="2" max="2" width="22.85546875" customWidth="1"/>
    <col min="9" max="9" width="21" customWidth="1"/>
  </cols>
  <sheetData>
    <row r="1" spans="2:13" x14ac:dyDescent="0.25">
      <c r="B1" t="s">
        <v>4</v>
      </c>
    </row>
    <row r="2" spans="2:13" x14ac:dyDescent="0.25">
      <c r="B2" t="s">
        <v>3</v>
      </c>
      <c r="C2">
        <v>1</v>
      </c>
      <c r="D2">
        <v>2</v>
      </c>
      <c r="E2">
        <v>3</v>
      </c>
      <c r="F2">
        <v>4</v>
      </c>
      <c r="G2">
        <v>5</v>
      </c>
      <c r="I2" t="s">
        <v>0</v>
      </c>
      <c r="J2">
        <v>1</v>
      </c>
      <c r="K2">
        <v>2</v>
      </c>
      <c r="L2">
        <v>3</v>
      </c>
    </row>
    <row r="3" spans="2:13" x14ac:dyDescent="0.25">
      <c r="B3" t="s">
        <v>7</v>
      </c>
      <c r="C3">
        <v>18.87</v>
      </c>
      <c r="D3">
        <v>18.739999999999998</v>
      </c>
      <c r="E3">
        <v>18.23</v>
      </c>
      <c r="F3">
        <v>18.73</v>
      </c>
      <c r="G3">
        <v>18.489999999999998</v>
      </c>
      <c r="I3" t="s">
        <v>1</v>
      </c>
      <c r="J3">
        <f>ROUND(AVERAGE(C27:G27),2)</f>
        <v>0.56999999999999995</v>
      </c>
      <c r="K3" t="s">
        <v>9</v>
      </c>
      <c r="L3">
        <f>ROUND(AVERAGE(C35:G35),2)</f>
        <v>1.27</v>
      </c>
      <c r="M3">
        <f>_xlfn.STDEV.S(J3:L3)</f>
        <v>0.49497474683058362</v>
      </c>
    </row>
    <row r="4" spans="2:13" x14ac:dyDescent="0.25">
      <c r="I4" t="s">
        <v>8</v>
      </c>
      <c r="J4">
        <f>ROUND(AVERAGE(C15:G15),2)</f>
        <v>7.67</v>
      </c>
      <c r="K4">
        <f>ROUND(AVERAGE(C19:G19),2)</f>
        <v>27.89</v>
      </c>
      <c r="L4">
        <f>ROUND(AVERAGE(C23:G23),2)</f>
        <v>16.739999999999998</v>
      </c>
      <c r="M4">
        <f>_xlfn.STDEV.S(J4:L4)</f>
        <v>10.127814835063553</v>
      </c>
    </row>
    <row r="5" spans="2:13" x14ac:dyDescent="0.25">
      <c r="B5" t="s">
        <v>5</v>
      </c>
      <c r="I5" t="s">
        <v>2</v>
      </c>
      <c r="J5">
        <f>ROUND(AVERAGE(C3:G3),2)</f>
        <v>18.61</v>
      </c>
      <c r="K5">
        <f>ROUND(AVERAGE(C7:G7),2)</f>
        <v>0.17</v>
      </c>
      <c r="L5">
        <f>ROUND(AVERAGE(C11:G11),2)</f>
        <v>0.49</v>
      </c>
      <c r="M5">
        <f>_xlfn.STDEV.S(J5:L5)</f>
        <v>10.555175665678584</v>
      </c>
    </row>
    <row r="6" spans="2:13" x14ac:dyDescent="0.25">
      <c r="B6" t="s">
        <v>3</v>
      </c>
      <c r="C6">
        <v>1</v>
      </c>
      <c r="D6">
        <v>2</v>
      </c>
      <c r="E6">
        <v>3</v>
      </c>
      <c r="F6">
        <v>4</v>
      </c>
      <c r="G6">
        <v>5</v>
      </c>
    </row>
    <row r="7" spans="2:13" x14ac:dyDescent="0.25">
      <c r="B7" t="s">
        <v>7</v>
      </c>
      <c r="C7">
        <v>0.17</v>
      </c>
      <c r="D7">
        <v>0.17</v>
      </c>
      <c r="E7">
        <v>0.17</v>
      </c>
      <c r="F7">
        <v>0.18</v>
      </c>
      <c r="G7">
        <v>0.18</v>
      </c>
    </row>
    <row r="9" spans="2:13" x14ac:dyDescent="0.25">
      <c r="B9" t="s">
        <v>6</v>
      </c>
    </row>
    <row r="10" spans="2:13" x14ac:dyDescent="0.25">
      <c r="B10" t="s">
        <v>3</v>
      </c>
      <c r="C10">
        <v>1</v>
      </c>
      <c r="D10">
        <v>2</v>
      </c>
      <c r="E10">
        <v>3</v>
      </c>
      <c r="F10">
        <v>4</v>
      </c>
      <c r="G10">
        <v>5</v>
      </c>
    </row>
    <row r="11" spans="2:13" x14ac:dyDescent="0.25">
      <c r="B11" t="s">
        <v>7</v>
      </c>
      <c r="C11">
        <v>0.48</v>
      </c>
      <c r="D11">
        <v>0.49</v>
      </c>
      <c r="E11">
        <v>0.49</v>
      </c>
      <c r="F11">
        <v>0.49</v>
      </c>
      <c r="G11">
        <v>0.48</v>
      </c>
    </row>
    <row r="13" spans="2:13" x14ac:dyDescent="0.25">
      <c r="B13" t="s">
        <v>4</v>
      </c>
    </row>
    <row r="14" spans="2:13" x14ac:dyDescent="0.25">
      <c r="B14" t="s">
        <v>3</v>
      </c>
      <c r="C14">
        <v>1</v>
      </c>
      <c r="D14">
        <v>2</v>
      </c>
      <c r="E14">
        <v>3</v>
      </c>
      <c r="F14">
        <v>4</v>
      </c>
      <c r="G14">
        <v>5</v>
      </c>
    </row>
    <row r="15" spans="2:13" x14ac:dyDescent="0.25">
      <c r="B15" t="s">
        <v>8</v>
      </c>
      <c r="C15">
        <v>7.93</v>
      </c>
      <c r="D15">
        <v>8.19</v>
      </c>
      <c r="E15">
        <v>7.6</v>
      </c>
      <c r="F15">
        <v>7.11</v>
      </c>
      <c r="G15">
        <v>7.53</v>
      </c>
    </row>
    <row r="17" spans="2:7" x14ac:dyDescent="0.25">
      <c r="B17" t="s">
        <v>5</v>
      </c>
    </row>
    <row r="18" spans="2:7" x14ac:dyDescent="0.25">
      <c r="B18" t="s">
        <v>3</v>
      </c>
      <c r="C18">
        <v>1</v>
      </c>
      <c r="D18">
        <v>2</v>
      </c>
      <c r="E18">
        <v>3</v>
      </c>
      <c r="F18">
        <v>4</v>
      </c>
      <c r="G18">
        <v>5</v>
      </c>
    </row>
    <row r="19" spans="2:7" x14ac:dyDescent="0.25">
      <c r="B19" t="s">
        <v>8</v>
      </c>
      <c r="C19">
        <v>27.39</v>
      </c>
      <c r="D19">
        <v>30.9</v>
      </c>
      <c r="E19">
        <v>27.19</v>
      </c>
      <c r="F19">
        <v>27.21</v>
      </c>
      <c r="G19">
        <v>26.77</v>
      </c>
    </row>
    <row r="21" spans="2:7" x14ac:dyDescent="0.25">
      <c r="B21" t="s">
        <v>6</v>
      </c>
    </row>
    <row r="22" spans="2:7" x14ac:dyDescent="0.25">
      <c r="B22" t="s">
        <v>3</v>
      </c>
      <c r="C22">
        <v>1</v>
      </c>
      <c r="D22">
        <v>2</v>
      </c>
      <c r="E22">
        <v>3</v>
      </c>
      <c r="F22">
        <v>4</v>
      </c>
      <c r="G22">
        <v>5</v>
      </c>
    </row>
    <row r="23" spans="2:7" x14ac:dyDescent="0.25">
      <c r="B23" t="s">
        <v>8</v>
      </c>
      <c r="C23">
        <v>16.440000000000001</v>
      </c>
      <c r="D23">
        <v>16.54</v>
      </c>
      <c r="E23">
        <v>17.68</v>
      </c>
      <c r="F23">
        <v>16.649999999999999</v>
      </c>
      <c r="G23">
        <v>16.39</v>
      </c>
    </row>
    <row r="25" spans="2:7" x14ac:dyDescent="0.25">
      <c r="B25" t="s">
        <v>4</v>
      </c>
    </row>
    <row r="26" spans="2:7" x14ac:dyDescent="0.25">
      <c r="B26" t="s">
        <v>3</v>
      </c>
      <c r="C26">
        <v>1</v>
      </c>
      <c r="D26">
        <v>2</v>
      </c>
      <c r="E26">
        <v>3</v>
      </c>
      <c r="F26">
        <v>4</v>
      </c>
      <c r="G26">
        <v>5</v>
      </c>
    </row>
    <row r="27" spans="2:7" x14ac:dyDescent="0.25">
      <c r="B27" t="s">
        <v>1</v>
      </c>
      <c r="C27">
        <v>0.55000000000000004</v>
      </c>
      <c r="D27">
        <v>0.56999999999999995</v>
      </c>
      <c r="E27">
        <v>0.56999999999999995</v>
      </c>
      <c r="F27">
        <v>0.57999999999999996</v>
      </c>
      <c r="G27">
        <v>0.56000000000000005</v>
      </c>
    </row>
    <row r="29" spans="2:7" x14ac:dyDescent="0.25">
      <c r="B29" t="s">
        <v>5</v>
      </c>
    </row>
    <row r="30" spans="2:7" x14ac:dyDescent="0.25">
      <c r="B30" t="s">
        <v>3</v>
      </c>
      <c r="C30">
        <v>1</v>
      </c>
      <c r="D30">
        <v>2</v>
      </c>
      <c r="E30">
        <v>3</v>
      </c>
      <c r="F30">
        <v>4</v>
      </c>
      <c r="G30">
        <v>5</v>
      </c>
    </row>
    <row r="31" spans="2:7" x14ac:dyDescent="0.25">
      <c r="B31" t="s">
        <v>1</v>
      </c>
    </row>
    <row r="33" spans="2:7" x14ac:dyDescent="0.25">
      <c r="B33" t="s">
        <v>6</v>
      </c>
    </row>
    <row r="34" spans="2:7" x14ac:dyDescent="0.25">
      <c r="B34" t="s">
        <v>3</v>
      </c>
      <c r="C34">
        <v>1</v>
      </c>
      <c r="D34">
        <v>2</v>
      </c>
      <c r="E34">
        <v>3</v>
      </c>
      <c r="F34">
        <v>4</v>
      </c>
      <c r="G34">
        <v>5</v>
      </c>
    </row>
    <row r="35" spans="2:7" x14ac:dyDescent="0.25">
      <c r="B35" t="s">
        <v>1</v>
      </c>
      <c r="C35">
        <v>1.26</v>
      </c>
      <c r="D35">
        <v>1.28</v>
      </c>
      <c r="E35">
        <v>1.26</v>
      </c>
      <c r="F35">
        <v>1.3</v>
      </c>
      <c r="G35">
        <v>1.24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8134-697C-42A3-9295-E90F0579FBAE}">
  <dimension ref="B2:K13"/>
  <sheetViews>
    <sheetView workbookViewId="0">
      <selection activeCell="D22" sqref="D22"/>
    </sheetView>
  </sheetViews>
  <sheetFormatPr defaultRowHeight="15" x14ac:dyDescent="0.25"/>
  <cols>
    <col min="2" max="2" width="31" customWidth="1"/>
    <col min="5" max="5" width="24.140625" customWidth="1"/>
    <col min="7" max="7" width="15.140625" customWidth="1"/>
    <col min="8" max="8" width="16.28515625" customWidth="1"/>
  </cols>
  <sheetData>
    <row r="2" spans="2:11" x14ac:dyDescent="0.25">
      <c r="B2" t="s">
        <v>13</v>
      </c>
      <c r="C2" s="1">
        <v>1</v>
      </c>
      <c r="D2" s="1"/>
      <c r="E2" s="1"/>
      <c r="F2" s="1">
        <v>2</v>
      </c>
      <c r="G2" s="1"/>
      <c r="H2" s="1"/>
      <c r="I2" s="1">
        <v>3</v>
      </c>
      <c r="J2" s="1"/>
      <c r="K2" s="1"/>
    </row>
    <row r="3" spans="2:11" x14ac:dyDescent="0.25"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10</v>
      </c>
      <c r="J3" t="s">
        <v>11</v>
      </c>
      <c r="K3" t="s">
        <v>12</v>
      </c>
    </row>
    <row r="4" spans="2:11" x14ac:dyDescent="0.25">
      <c r="B4" t="s">
        <v>1</v>
      </c>
      <c r="C4">
        <v>960</v>
      </c>
      <c r="D4">
        <v>1996</v>
      </c>
      <c r="E4">
        <v>490</v>
      </c>
      <c r="F4" t="s">
        <v>9</v>
      </c>
      <c r="G4" t="s">
        <v>9</v>
      </c>
      <c r="H4" t="s">
        <v>9</v>
      </c>
      <c r="I4">
        <v>847</v>
      </c>
      <c r="J4">
        <v>1841</v>
      </c>
      <c r="K4">
        <v>549</v>
      </c>
    </row>
    <row r="5" spans="2:11" x14ac:dyDescent="0.25">
      <c r="B5" t="s">
        <v>8</v>
      </c>
      <c r="C5">
        <v>6304</v>
      </c>
      <c r="D5">
        <v>8387</v>
      </c>
      <c r="E5" t="s">
        <v>9</v>
      </c>
      <c r="F5">
        <v>7824</v>
      </c>
      <c r="G5">
        <v>11400</v>
      </c>
      <c r="H5" t="s">
        <v>9</v>
      </c>
      <c r="I5">
        <v>5742</v>
      </c>
      <c r="J5">
        <v>8514</v>
      </c>
      <c r="K5" t="s">
        <v>9</v>
      </c>
    </row>
    <row r="6" spans="2:11" x14ac:dyDescent="0.25">
      <c r="B6" t="s">
        <v>2</v>
      </c>
      <c r="C6">
        <v>95446</v>
      </c>
      <c r="D6">
        <v>64</v>
      </c>
      <c r="E6">
        <v>0</v>
      </c>
      <c r="F6">
        <v>892</v>
      </c>
      <c r="G6">
        <v>144</v>
      </c>
      <c r="H6">
        <v>26</v>
      </c>
      <c r="I6">
        <v>2870</v>
      </c>
      <c r="J6">
        <v>121</v>
      </c>
      <c r="K6">
        <v>16</v>
      </c>
    </row>
    <row r="13" spans="2:11" x14ac:dyDescent="0.25">
      <c r="F13">
        <v>1296</v>
      </c>
      <c r="G13">
        <v>2736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K</dc:creator>
  <cp:lastModifiedBy>Conor K</cp:lastModifiedBy>
  <dcterms:created xsi:type="dcterms:W3CDTF">2026-02-11T03:59:55Z</dcterms:created>
  <dcterms:modified xsi:type="dcterms:W3CDTF">2026-02-11T23:58:03Z</dcterms:modified>
</cp:coreProperties>
</file>